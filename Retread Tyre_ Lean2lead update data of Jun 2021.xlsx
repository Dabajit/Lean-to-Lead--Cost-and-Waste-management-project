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showHorizontalScroll="0" xWindow="0" yWindow="0" windowWidth="15345" windowHeight="4545"/>
  </bookViews>
  <sheets>
    <sheet name="Data- FY 2020-2021" sheetId="3" r:id="rId1"/>
  </sheets>
  <calcPr calcId="162913"/>
</workbook>
</file>

<file path=xl/calcChain.xml><?xml version="1.0" encoding="utf-8"?>
<calcChain xmlns="http://schemas.openxmlformats.org/spreadsheetml/2006/main">
  <c r="K4" i="3" l="1"/>
  <c r="K5" i="3"/>
  <c r="K6" i="3"/>
  <c r="K7" i="3"/>
  <c r="K8" i="3"/>
  <c r="K9" i="3"/>
  <c r="K10" i="3"/>
  <c r="K11" i="3"/>
  <c r="K12" i="3"/>
  <c r="K13" i="3"/>
  <c r="K14" i="3"/>
  <c r="K3" i="3"/>
  <c r="I14" i="3" l="1"/>
  <c r="J14" i="3" s="1"/>
  <c r="I13" i="3" l="1"/>
  <c r="I12" i="3" l="1"/>
  <c r="I11" i="3" l="1"/>
  <c r="I6" i="3"/>
  <c r="I7" i="3"/>
  <c r="I8" i="3"/>
  <c r="I9" i="3"/>
  <c r="I10" i="3"/>
  <c r="D14" i="3" l="1"/>
  <c r="L14" i="3" s="1"/>
  <c r="J13" i="3"/>
  <c r="D13" i="3"/>
  <c r="J12" i="3"/>
  <c r="D12" i="3"/>
  <c r="J11" i="3"/>
  <c r="D11" i="3"/>
  <c r="J10" i="3"/>
  <c r="D10" i="3"/>
  <c r="J9" i="3"/>
  <c r="D9" i="3"/>
  <c r="J8" i="3"/>
  <c r="C8" i="3"/>
  <c r="D8" i="3" s="1"/>
  <c r="J7" i="3"/>
  <c r="D7" i="3"/>
  <c r="J6" i="3"/>
  <c r="C6" i="3"/>
  <c r="D6" i="3" s="1"/>
  <c r="I5" i="3"/>
  <c r="J5" i="3" s="1"/>
  <c r="D5" i="3"/>
  <c r="I4" i="3"/>
  <c r="J4" i="3" s="1"/>
  <c r="D4" i="3"/>
  <c r="I3" i="3"/>
  <c r="J3" i="3" s="1"/>
  <c r="D3" i="3"/>
  <c r="L3" i="3" l="1"/>
  <c r="L13" i="3"/>
  <c r="L9" i="3"/>
  <c r="L12" i="3"/>
  <c r="L4" i="3"/>
  <c r="L7" i="3"/>
  <c r="L10" i="3"/>
  <c r="L5" i="3"/>
  <c r="L11" i="3"/>
  <c r="L6" i="3"/>
  <c r="L8" i="3"/>
</calcChain>
</file>

<file path=xl/sharedStrings.xml><?xml version="1.0" encoding="utf-8"?>
<sst xmlns="http://schemas.openxmlformats.org/spreadsheetml/2006/main" count="13" uniqueCount="13">
  <si>
    <t>No. of Failure</t>
  </si>
  <si>
    <t>Cost Savings Project- Retread Tyre</t>
  </si>
  <si>
    <t>Total no. of Retread Tyre
Except Failure</t>
  </si>
  <si>
    <t>% Reduction of 
utilization before pick-up 
(New Tyre)</t>
  </si>
  <si>
    <t>No. of Retread 
Tyre</t>
  </si>
  <si>
    <t>Retread Cost 
(BDT)</t>
  </si>
  <si>
    <t xml:space="preserve">Value of New Tyre (BDT)
</t>
  </si>
  <si>
    <t>% Reduction of New Tyre@Money Value</t>
  </si>
  <si>
    <t>Savings in Monetary Value (BDT)</t>
  </si>
  <si>
    <t>Base value of New Tyre 
(Due to % reduction)</t>
  </si>
  <si>
    <t>% of Tyre Consumption @2020-21 of Total Consumption</t>
  </si>
  <si>
    <t>PO Reference of new tyre</t>
  </si>
  <si>
    <t>% of Tyre Consumption @2019-20 &amp; 2020-2021 of Total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</si>
</sst>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5" fillId="0" borderId="0" applyFont="0" applyFill="0" applyBorder="0" applyAlignment="0" applyProtection="0"/>
  </cellStyleXfs>
  <cellXfs count="17">
    <xf numFmtId="0" fontId="0" fillId="0" borderId="0" xfId="0"/>
    <xf numFmtId="0" fontId="0" fillId="3" borderId="1" xfId="0" applyFill="1" applyBorder="1" applyAlignment="1">
      <alignment horizontal="center" vertical="center"/>
    </xf>
    <xf numFmtId="17" fontId="0" fillId="0" borderId="0" xfId="0" applyNumberFormat="1"/>
    <xf numFmtId="17" fontId="1" fillId="3" borderId="1" xfId="0" applyNumberFormat="1" applyFont="1" applyFill="1" applyBorder="1"/>
    <xf numFmtId="9" fontId="0" fillId="3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9" fontId="0" fillId="3" borderId="1" xfId="0" applyNumberFormat="1" applyFill="1" applyBorder="1" applyAlignment="1">
      <alignment horizontal="center"/>
    </xf>
    <xf numFmtId="0" fontId="0" fillId="3" borderId="0" xfId="0" applyFill="1"/>
    <xf numFmtId="43" fontId="0" fillId="0" borderId="0" xfId="2" applyFont="1"/>
    <xf numFmtId="0" fontId="0" fillId="0" borderId="4" xfId="0" applyBorder="1"/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4" borderId="4" xfId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workbookViewId="0">
      <pane xSplit="1" ySplit="2" topLeftCell="I3" activePane="bottomRight" state="frozen"/>
      <selection pane="topRight" activeCell="B1" sqref="B1"/>
      <selection pane="bottomLeft" activeCell="A3" sqref="A3"/>
      <selection pane="bottomRight" activeCell="M14" sqref="M3:M14"/>
    </sheetView>
  </sheetViews>
  <sheetFormatPr defaultRowHeight="15" x14ac:dyDescent="0.25"/>
  <cols>
    <col min="2" max="2" width="18.140625" bestFit="1" customWidth="1"/>
    <col min="3" max="3" width="16.7109375" bestFit="1" customWidth="1"/>
    <col min="4" max="4" width="23.140625" bestFit="1" customWidth="1"/>
    <col min="5" max="5" width="17.7109375" bestFit="1" customWidth="1"/>
    <col min="6" max="7" width="18.28515625" customWidth="1"/>
    <col min="8" max="8" width="23.85546875" customWidth="1"/>
    <col min="9" max="9" width="23.28515625" customWidth="1"/>
    <col min="10" max="11" width="25.42578125" customWidth="1"/>
    <col min="12" max="12" width="22.85546875" customWidth="1"/>
    <col min="13" max="13" width="27.85546875" customWidth="1"/>
    <col min="14" max="14" width="33.7109375" customWidth="1"/>
  </cols>
  <sheetData>
    <row r="1" spans="1:14" ht="26.25" x14ac:dyDescent="0.25">
      <c r="A1" s="15" t="s">
        <v>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75" x14ac:dyDescent="0.25">
      <c r="A2" s="10"/>
      <c r="B2" s="11" t="s">
        <v>4</v>
      </c>
      <c r="C2" s="12" t="s">
        <v>0</v>
      </c>
      <c r="D2" s="11" t="s">
        <v>2</v>
      </c>
      <c r="E2" s="11" t="s">
        <v>5</v>
      </c>
      <c r="F2" s="11" t="s">
        <v>6</v>
      </c>
      <c r="G2" s="11" t="s">
        <v>11</v>
      </c>
      <c r="H2" s="11" t="s">
        <v>3</v>
      </c>
      <c r="I2" s="11" t="s">
        <v>7</v>
      </c>
      <c r="J2" s="11" t="s">
        <v>9</v>
      </c>
      <c r="K2" s="11"/>
      <c r="L2" s="14" t="s">
        <v>8</v>
      </c>
      <c r="M2" s="13" t="s">
        <v>12</v>
      </c>
      <c r="N2" s="13" t="s">
        <v>10</v>
      </c>
    </row>
    <row r="3" spans="1:14" s="8" customFormat="1" x14ac:dyDescent="0.25">
      <c r="A3" s="3">
        <v>44013</v>
      </c>
      <c r="B3" s="1">
        <v>53</v>
      </c>
      <c r="C3" s="1">
        <v>0</v>
      </c>
      <c r="D3" s="1">
        <f>B3-C3</f>
        <v>53</v>
      </c>
      <c r="E3" s="1">
        <v>4800</v>
      </c>
      <c r="F3" s="1">
        <v>25000</v>
      </c>
      <c r="G3" s="1">
        <v>4980</v>
      </c>
      <c r="H3" s="4">
        <v>0.03</v>
      </c>
      <c r="I3" s="5">
        <f>0.19 *F3</f>
        <v>4750</v>
      </c>
      <c r="J3" s="1">
        <f>F3-(F3*H3)-I3</f>
        <v>19500</v>
      </c>
      <c r="K3" s="6">
        <f>E3*D3</f>
        <v>254400</v>
      </c>
      <c r="L3" s="6">
        <f t="shared" ref="L3:L13" si="0">(J3*D3)-(E3*D3)</f>
        <v>779100</v>
      </c>
      <c r="M3" s="7">
        <v>0.62</v>
      </c>
      <c r="N3" s="7">
        <v>0.3</v>
      </c>
    </row>
    <row r="4" spans="1:14" s="8" customFormat="1" x14ac:dyDescent="0.25">
      <c r="A4" s="3">
        <v>44044</v>
      </c>
      <c r="B4" s="1">
        <v>31</v>
      </c>
      <c r="C4" s="1">
        <v>1</v>
      </c>
      <c r="D4" s="1">
        <f t="shared" ref="D4:D14" si="1">B4-C4</f>
        <v>30</v>
      </c>
      <c r="E4" s="1">
        <v>4800</v>
      </c>
      <c r="F4" s="1">
        <v>25000</v>
      </c>
      <c r="G4" s="1">
        <v>5174</v>
      </c>
      <c r="H4" s="4">
        <v>0.03</v>
      </c>
      <c r="I4" s="5">
        <f>0.19 *F4</f>
        <v>4750</v>
      </c>
      <c r="J4" s="1">
        <f t="shared" ref="J4:J13" si="2">F4-(F4*H4)-I4</f>
        <v>19500</v>
      </c>
      <c r="K4" s="6">
        <f t="shared" ref="K4:K14" si="3">E4*D4</f>
        <v>144000</v>
      </c>
      <c r="L4" s="6">
        <f t="shared" si="0"/>
        <v>441000</v>
      </c>
      <c r="M4" s="7">
        <v>0.68</v>
      </c>
      <c r="N4" s="7">
        <v>0.36</v>
      </c>
    </row>
    <row r="5" spans="1:14" s="8" customFormat="1" x14ac:dyDescent="0.25">
      <c r="A5" s="3">
        <v>44075</v>
      </c>
      <c r="B5" s="1">
        <v>40</v>
      </c>
      <c r="C5" s="1">
        <v>3</v>
      </c>
      <c r="D5" s="1">
        <f t="shared" si="1"/>
        <v>37</v>
      </c>
      <c r="E5" s="1">
        <v>4800</v>
      </c>
      <c r="F5" s="1">
        <v>25000</v>
      </c>
      <c r="G5" s="1">
        <v>5217</v>
      </c>
      <c r="H5" s="4">
        <v>0.03</v>
      </c>
      <c r="I5" s="5">
        <f>0.19 *F5</f>
        <v>4750</v>
      </c>
      <c r="J5" s="1">
        <f t="shared" si="2"/>
        <v>19500</v>
      </c>
      <c r="K5" s="6">
        <f t="shared" si="3"/>
        <v>177600</v>
      </c>
      <c r="L5" s="6">
        <f t="shared" si="0"/>
        <v>543900</v>
      </c>
      <c r="M5" s="7">
        <v>0.41</v>
      </c>
      <c r="N5" s="7">
        <v>0.35</v>
      </c>
    </row>
    <row r="6" spans="1:14" s="8" customFormat="1" x14ac:dyDescent="0.25">
      <c r="A6" s="3">
        <v>44105</v>
      </c>
      <c r="B6" s="1">
        <v>38</v>
      </c>
      <c r="C6" s="1">
        <f>7+1</f>
        <v>8</v>
      </c>
      <c r="D6" s="1">
        <f t="shared" si="1"/>
        <v>30</v>
      </c>
      <c r="E6" s="1">
        <v>4600</v>
      </c>
      <c r="F6" s="1">
        <v>25000</v>
      </c>
      <c r="G6" s="1">
        <v>5294</v>
      </c>
      <c r="H6" s="4">
        <v>0.03</v>
      </c>
      <c r="I6" s="5">
        <f t="shared" ref="I6:I13" si="4">0.19 *F6</f>
        <v>4750</v>
      </c>
      <c r="J6" s="1">
        <f t="shared" si="2"/>
        <v>19500</v>
      </c>
      <c r="K6" s="6">
        <f t="shared" si="3"/>
        <v>138000</v>
      </c>
      <c r="L6" s="6">
        <f t="shared" si="0"/>
        <v>447000</v>
      </c>
      <c r="M6" s="7">
        <v>0.57999999999999996</v>
      </c>
      <c r="N6" s="7">
        <v>0.36</v>
      </c>
    </row>
    <row r="7" spans="1:14" s="8" customFormat="1" x14ac:dyDescent="0.25">
      <c r="A7" s="3">
        <v>44136</v>
      </c>
      <c r="B7" s="1">
        <v>42</v>
      </c>
      <c r="C7" s="1">
        <v>9</v>
      </c>
      <c r="D7" s="1">
        <f t="shared" si="1"/>
        <v>33</v>
      </c>
      <c r="E7" s="1">
        <v>4821</v>
      </c>
      <c r="F7" s="1">
        <v>25000</v>
      </c>
      <c r="G7" s="1"/>
      <c r="H7" s="4">
        <v>0.03</v>
      </c>
      <c r="I7" s="5">
        <f t="shared" si="4"/>
        <v>4750</v>
      </c>
      <c r="J7" s="1">
        <f t="shared" si="2"/>
        <v>19500</v>
      </c>
      <c r="K7" s="6">
        <f t="shared" si="3"/>
        <v>159093</v>
      </c>
      <c r="L7" s="6">
        <f t="shared" si="0"/>
        <v>484407</v>
      </c>
      <c r="M7" s="7">
        <v>0.39</v>
      </c>
      <c r="N7" s="7">
        <v>0.32</v>
      </c>
    </row>
    <row r="8" spans="1:14" s="8" customFormat="1" x14ac:dyDescent="0.25">
      <c r="A8" s="3">
        <v>44166</v>
      </c>
      <c r="B8" s="1">
        <v>34</v>
      </c>
      <c r="C8" s="1">
        <f>10-5</f>
        <v>5</v>
      </c>
      <c r="D8" s="1">
        <f t="shared" si="1"/>
        <v>29</v>
      </c>
      <c r="E8" s="1">
        <v>5070</v>
      </c>
      <c r="F8" s="1">
        <v>25000</v>
      </c>
      <c r="G8" s="1">
        <v>5478</v>
      </c>
      <c r="H8" s="4">
        <v>0.03</v>
      </c>
      <c r="I8" s="5">
        <f t="shared" si="4"/>
        <v>4750</v>
      </c>
      <c r="J8" s="1">
        <f t="shared" si="2"/>
        <v>19500</v>
      </c>
      <c r="K8" s="6">
        <f t="shared" si="3"/>
        <v>147030</v>
      </c>
      <c r="L8" s="6">
        <f t="shared" si="0"/>
        <v>418470</v>
      </c>
      <c r="M8" s="7">
        <v>0.61</v>
      </c>
      <c r="N8" s="7">
        <v>0.26</v>
      </c>
    </row>
    <row r="9" spans="1:14" s="8" customFormat="1" x14ac:dyDescent="0.25">
      <c r="A9" s="3">
        <v>44197</v>
      </c>
      <c r="B9" s="1">
        <v>24</v>
      </c>
      <c r="C9" s="1">
        <v>5</v>
      </c>
      <c r="D9" s="1">
        <f t="shared" si="1"/>
        <v>19</v>
      </c>
      <c r="E9" s="1">
        <v>5296</v>
      </c>
      <c r="F9" s="1">
        <v>25000</v>
      </c>
      <c r="G9" s="1">
        <v>5528</v>
      </c>
      <c r="H9" s="4">
        <v>0.03</v>
      </c>
      <c r="I9" s="5">
        <f t="shared" si="4"/>
        <v>4750</v>
      </c>
      <c r="J9" s="1">
        <f t="shared" si="2"/>
        <v>19500</v>
      </c>
      <c r="K9" s="6">
        <f t="shared" si="3"/>
        <v>100624</v>
      </c>
      <c r="L9" s="6">
        <f t="shared" si="0"/>
        <v>269876</v>
      </c>
      <c r="M9" s="7">
        <v>0.48</v>
      </c>
      <c r="N9" s="7">
        <v>0.24</v>
      </c>
    </row>
    <row r="10" spans="1:14" x14ac:dyDescent="0.25">
      <c r="A10" s="3">
        <v>44228</v>
      </c>
      <c r="B10" s="1">
        <v>10</v>
      </c>
      <c r="C10" s="1">
        <v>2</v>
      </c>
      <c r="D10" s="1">
        <f t="shared" si="1"/>
        <v>8</v>
      </c>
      <c r="E10" s="1">
        <v>4970</v>
      </c>
      <c r="F10" s="1">
        <v>25000</v>
      </c>
      <c r="G10" s="1">
        <v>5703</v>
      </c>
      <c r="H10" s="4">
        <v>0.03</v>
      </c>
      <c r="I10" s="5">
        <f t="shared" si="4"/>
        <v>4750</v>
      </c>
      <c r="J10" s="1">
        <f t="shared" si="2"/>
        <v>19500</v>
      </c>
      <c r="K10" s="6">
        <f t="shared" si="3"/>
        <v>39760</v>
      </c>
      <c r="L10" s="6">
        <f t="shared" si="0"/>
        <v>116240</v>
      </c>
      <c r="M10" s="7">
        <v>0.33</v>
      </c>
      <c r="N10" s="7">
        <v>0.36</v>
      </c>
    </row>
    <row r="11" spans="1:14" s="8" customFormat="1" x14ac:dyDescent="0.25">
      <c r="A11" s="3">
        <v>44256</v>
      </c>
      <c r="B11" s="1">
        <v>20</v>
      </c>
      <c r="C11" s="1">
        <v>1</v>
      </c>
      <c r="D11" s="1">
        <f t="shared" si="1"/>
        <v>19</v>
      </c>
      <c r="E11" s="1">
        <v>4480</v>
      </c>
      <c r="F11" s="1">
        <v>25000</v>
      </c>
      <c r="G11" s="1">
        <v>5757</v>
      </c>
      <c r="H11" s="4">
        <v>0.03</v>
      </c>
      <c r="I11" s="5">
        <f t="shared" si="4"/>
        <v>4750</v>
      </c>
      <c r="J11" s="1">
        <f t="shared" si="2"/>
        <v>19500</v>
      </c>
      <c r="K11" s="6">
        <f t="shared" si="3"/>
        <v>85120</v>
      </c>
      <c r="L11" s="6">
        <f t="shared" si="0"/>
        <v>285380</v>
      </c>
      <c r="M11" s="7">
        <v>0.51</v>
      </c>
      <c r="N11" s="7">
        <v>0.37</v>
      </c>
    </row>
    <row r="12" spans="1:14" x14ac:dyDescent="0.25">
      <c r="A12" s="3">
        <v>44287</v>
      </c>
      <c r="B12" s="1">
        <v>25</v>
      </c>
      <c r="C12" s="1">
        <v>2</v>
      </c>
      <c r="D12" s="1">
        <f t="shared" si="1"/>
        <v>23</v>
      </c>
      <c r="E12" s="1">
        <v>4948</v>
      </c>
      <c r="F12" s="1">
        <v>25000</v>
      </c>
      <c r="G12" s="1">
        <v>5887</v>
      </c>
      <c r="H12" s="4">
        <v>0.03</v>
      </c>
      <c r="I12" s="5">
        <f t="shared" si="4"/>
        <v>4750</v>
      </c>
      <c r="J12" s="1">
        <f t="shared" si="2"/>
        <v>19500</v>
      </c>
      <c r="K12" s="6">
        <f t="shared" si="3"/>
        <v>113804</v>
      </c>
      <c r="L12" s="6">
        <f t="shared" si="0"/>
        <v>334696</v>
      </c>
      <c r="M12" s="7">
        <v>0.61</v>
      </c>
      <c r="N12" s="7">
        <v>0.55000000000000004</v>
      </c>
    </row>
    <row r="13" spans="1:14" x14ac:dyDescent="0.25">
      <c r="A13" s="3">
        <v>44317</v>
      </c>
      <c r="B13" s="1">
        <v>23</v>
      </c>
      <c r="C13" s="1">
        <v>3</v>
      </c>
      <c r="D13" s="1">
        <f t="shared" si="1"/>
        <v>20</v>
      </c>
      <c r="E13" s="1">
        <v>5254</v>
      </c>
      <c r="F13" s="1">
        <v>25000</v>
      </c>
      <c r="G13" s="1">
        <v>5930</v>
      </c>
      <c r="H13" s="4">
        <v>0.03</v>
      </c>
      <c r="I13" s="5">
        <f t="shared" si="4"/>
        <v>4750</v>
      </c>
      <c r="J13" s="1">
        <f t="shared" si="2"/>
        <v>19500</v>
      </c>
      <c r="K13" s="6">
        <f t="shared" si="3"/>
        <v>105080</v>
      </c>
      <c r="L13" s="6">
        <f t="shared" si="0"/>
        <v>284920</v>
      </c>
      <c r="M13" s="7">
        <v>0.57999999999999996</v>
      </c>
      <c r="N13" s="7">
        <v>0.59</v>
      </c>
    </row>
    <row r="14" spans="1:14" x14ac:dyDescent="0.25">
      <c r="A14" s="3">
        <v>44348</v>
      </c>
      <c r="B14" s="1">
        <v>21</v>
      </c>
      <c r="C14" s="1">
        <v>2</v>
      </c>
      <c r="D14" s="1">
        <f t="shared" si="1"/>
        <v>19</v>
      </c>
      <c r="E14" s="1">
        <v>4476</v>
      </c>
      <c r="F14" s="1">
        <v>25000</v>
      </c>
      <c r="G14" s="1">
        <v>5960</v>
      </c>
      <c r="H14" s="4">
        <v>0.03</v>
      </c>
      <c r="I14" s="5">
        <f t="shared" ref="I14" si="5">0.19 *F14</f>
        <v>4750</v>
      </c>
      <c r="J14" s="1">
        <f t="shared" ref="J14" si="6">F14-(F14*H14)-I14</f>
        <v>19500</v>
      </c>
      <c r="K14" s="6">
        <f t="shared" si="3"/>
        <v>85044</v>
      </c>
      <c r="L14" s="6">
        <f t="shared" ref="L14" si="7">(J14*D14)-(E14*D14)</f>
        <v>285456</v>
      </c>
      <c r="M14" s="7">
        <v>0.52</v>
      </c>
      <c r="N14" s="7">
        <v>0.6</v>
      </c>
    </row>
    <row r="15" spans="1:14" x14ac:dyDescent="0.25">
      <c r="A15" s="2"/>
    </row>
    <row r="24" spans="6:7" x14ac:dyDescent="0.25">
      <c r="F24" s="9"/>
      <c r="G24" s="9"/>
    </row>
    <row r="25" spans="6:7" x14ac:dyDescent="0.25">
      <c r="F25" s="9"/>
      <c r="G25" s="9"/>
    </row>
    <row r="26" spans="6:7" x14ac:dyDescent="0.25">
      <c r="F26" s="9"/>
      <c r="G26" s="9"/>
    </row>
  </sheetData>
  <mergeCells count="1">
    <mergeCell ref="A1:N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 FY 2020-2021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2021-09-04T11:48:01Z</dcterms:modified>
</cp:coreProperties>
</file>